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week-01/"/>
    </mc:Choice>
  </mc:AlternateContent>
  <xr:revisionPtr revIDLastSave="0" documentId="13_ncr:1_{27C7E4BF-B49E-834C-9FC2-B6170F328656}" xr6:coauthVersionLast="47" xr6:coauthVersionMax="47" xr10:uidLastSave="{00000000-0000-0000-0000-000000000000}"/>
  <bookViews>
    <workbookView xWindow="0" yWindow="780" windowWidth="36000" windowHeight="22600" activeTab="1" xr2:uid="{A1FB0544-45E7-F84D-8812-06E2C85D2012}"/>
  </bookViews>
  <sheets>
    <sheet name="by search term" sheetId="1" r:id="rId1"/>
    <sheet name="sales region lookup" sheetId="4" r:id="rId2"/>
    <sheet name="by state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B9" i="4"/>
  <c r="B11" i="4" s="1"/>
  <c r="B10" i="4"/>
  <c r="B7" i="4"/>
  <c r="E7" i="4"/>
  <c r="F7" i="4"/>
  <c r="H7" i="4" s="1"/>
  <c r="B8" i="4"/>
  <c r="E8" i="4"/>
  <c r="F8" i="4"/>
  <c r="H8" i="4" s="1"/>
  <c r="H10" i="4"/>
  <c r="H11" i="4"/>
  <c r="H1" i="1"/>
</calcChain>
</file>

<file path=xl/sharedStrings.xml><?xml version="1.0" encoding="utf-8"?>
<sst xmlns="http://schemas.openxmlformats.org/spreadsheetml/2006/main" count="147" uniqueCount="67">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</sst>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34" borderId="0" xfId="0" applyFont="1" applyFill="1"/>
    <xf numFmtId="0" fontId="18" fillId="0" borderId="0" xfId="0" applyFo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lookup'!$L$23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lookup'!$K$24:$K$34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lookup'!$L$24:$L$34</c:f>
              <c:numCache>
                <c:formatCode>0%</c:formatCode>
                <c:ptCount val="10"/>
                <c:pt idx="0">
                  <c:v>0.68</c:v>
                </c:pt>
                <c:pt idx="1">
                  <c:v>0.65</c:v>
                </c:pt>
                <c:pt idx="2">
                  <c:v>0.68</c:v>
                </c:pt>
                <c:pt idx="3">
                  <c:v>0.74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D-934B-A7BA-4EAAB105CA5D}"/>
            </c:ext>
          </c:extLst>
        </c:ser>
        <c:ser>
          <c:idx val="1"/>
          <c:order val="1"/>
          <c:tx>
            <c:strRef>
              <c:f>'sales region lookup'!$M$23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lookup'!$K$24:$K$34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lookup'!$M$24:$M$34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D-934B-A7BA-4EAAB105C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6278976"/>
        <c:axId val="1889821888"/>
      </c:barChart>
      <c:catAx>
        <c:axId val="18662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21888"/>
        <c:crosses val="autoZero"/>
        <c:auto val="1"/>
        <c:lblAlgn val="ctr"/>
        <c:lblOffset val="100"/>
        <c:noMultiLvlLbl val="0"/>
      </c:catAx>
      <c:valAx>
        <c:axId val="18898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7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179596</xdr:colOff>
      <xdr:row>17</xdr:row>
      <xdr:rowOff>49775</xdr:rowOff>
    </xdr:from>
    <xdr:to>
      <xdr:col>9</xdr:col>
      <xdr:colOff>551616</xdr:colOff>
      <xdr:row>43</xdr:row>
      <xdr:rowOff>38485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0C114-943B-A88C-0332-E6880F0FC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sanet Aweke" refreshedDate="46313.177333333333" createdVersion="8" refreshedVersion="8" minRefreshableVersion="3" recordCount="10" xr:uid="{F324F6CB-A032-D34C-8ACC-159426240E4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8"/>
    <n v="0.19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8"/>
  </r>
  <r>
    <x v="7"/>
    <x v="1"/>
    <n v="0.68"/>
    <n v="0.19"/>
  </r>
  <r>
    <x v="8"/>
    <x v="1"/>
    <n v="0.66"/>
    <n v="0.19"/>
  </r>
  <r>
    <x v="9"/>
    <x v="1"/>
    <n v="0.65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2F5E3-E83D-9049-A110-E980A612FF2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3:M34" firstHeaderRow="0" firstDataRow="1" firstDataCol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multipleItemSelectionAllowed="1" showAll="0">
      <items count="3">
        <item h="1"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5454-C060-8F48-A458-7FCF5A40972E}">
  <dimension ref="A1:K52"/>
  <sheetViews>
    <sheetView zoomScale="75" zoomScaleNormal="75" workbookViewId="0">
      <pane ySplit="1" topLeftCell="A2" activePane="bottomLeft" state="frozen"/>
      <selection pane="bottomLeft" activeCell="K44" sqref="K44"/>
    </sheetView>
  </sheetViews>
  <sheetFormatPr baseColWidth="10" defaultRowHeight="16" x14ac:dyDescent="0.2"/>
  <cols>
    <col min="2" max="2" width="18.33203125" bestFit="1" customWidth="1"/>
    <col min="3" max="3" width="27.5" bestFit="1" customWidth="1"/>
    <col min="4" max="4" width="26.1640625" bestFit="1" customWidth="1"/>
    <col min="5" max="5" width="25" bestFit="1" customWidth="1"/>
    <col min="7" max="7" width="12.83203125" customWidth="1"/>
    <col min="10" max="10" width="13.5" customWidth="1"/>
    <col min="11" max="11" width="16.33203125" customWidth="1"/>
  </cols>
  <sheetData>
    <row r="1" spans="1:11" ht="17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4" t="s">
        <v>55</v>
      </c>
    </row>
    <row r="2" spans="1:11" x14ac:dyDescent="0.2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2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2">
      <c r="A6">
        <v>5</v>
      </c>
      <c r="B6" t="s">
        <v>30</v>
      </c>
      <c r="C6" s="1">
        <v>0.64</v>
      </c>
      <c r="D6" s="1">
        <v>0.2</v>
      </c>
      <c r="E6" s="1">
        <v>0.16</v>
      </c>
    </row>
    <row r="7" spans="1:11" x14ac:dyDescent="0.2">
      <c r="A7">
        <v>6</v>
      </c>
      <c r="B7" t="s">
        <v>40</v>
      </c>
      <c r="C7" s="1">
        <v>0.68</v>
      </c>
      <c r="D7" s="1">
        <v>0.17</v>
      </c>
      <c r="E7" s="1">
        <v>0.15</v>
      </c>
    </row>
    <row r="8" spans="1:11" x14ac:dyDescent="0.2">
      <c r="A8">
        <v>7</v>
      </c>
      <c r="B8" t="s">
        <v>24</v>
      </c>
      <c r="C8" s="1">
        <v>0.64</v>
      </c>
      <c r="D8" s="1">
        <v>0.21</v>
      </c>
      <c r="E8" s="1">
        <v>0.15</v>
      </c>
    </row>
    <row r="9" spans="1:11" x14ac:dyDescent="0.2">
      <c r="A9">
        <v>8</v>
      </c>
      <c r="B9" t="s">
        <v>13</v>
      </c>
      <c r="C9" s="1">
        <v>0.6</v>
      </c>
      <c r="D9" s="1">
        <v>0.26</v>
      </c>
      <c r="E9" s="1">
        <v>0.14000000000000001</v>
      </c>
    </row>
    <row r="10" spans="1:11" x14ac:dyDescent="0.2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">
      <c r="A11">
        <v>10</v>
      </c>
      <c r="B11" t="s">
        <v>23</v>
      </c>
      <c r="C11" s="1">
        <v>0.63</v>
      </c>
      <c r="D11" s="1">
        <v>0.22</v>
      </c>
      <c r="E11" s="1">
        <v>0.15</v>
      </c>
    </row>
    <row r="12" spans="1:11" x14ac:dyDescent="0.2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2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">
      <c r="A14">
        <v>13</v>
      </c>
      <c r="B14" t="s">
        <v>28</v>
      </c>
      <c r="C14" s="1">
        <v>0.68</v>
      </c>
      <c r="D14" s="1">
        <v>0.19</v>
      </c>
      <c r="E14" s="1">
        <v>0.13</v>
      </c>
    </row>
    <row r="15" spans="1:11" x14ac:dyDescent="0.2">
      <c r="A15">
        <v>14</v>
      </c>
      <c r="B15" t="s">
        <v>12</v>
      </c>
      <c r="C15" s="1">
        <v>0.62</v>
      </c>
      <c r="D15" s="1">
        <v>0.23</v>
      </c>
      <c r="E15" s="1">
        <v>0.15</v>
      </c>
    </row>
    <row r="16" spans="1:11" x14ac:dyDescent="0.2">
      <c r="A16">
        <v>15</v>
      </c>
      <c r="B16" t="s">
        <v>7</v>
      </c>
      <c r="C16" s="1">
        <v>0.65</v>
      </c>
      <c r="D16" s="1">
        <v>0.22</v>
      </c>
      <c r="E16" s="1">
        <v>0.13</v>
      </c>
    </row>
    <row r="17" spans="1:5" x14ac:dyDescent="0.2">
      <c r="A17">
        <v>16</v>
      </c>
      <c r="B17" t="s">
        <v>34</v>
      </c>
      <c r="C17" s="1">
        <v>0.69</v>
      </c>
      <c r="D17" s="1">
        <v>0.19</v>
      </c>
      <c r="E17" s="1">
        <v>0.12</v>
      </c>
    </row>
    <row r="18" spans="1:5" x14ac:dyDescent="0.2">
      <c r="A18">
        <v>17</v>
      </c>
      <c r="B18" t="s">
        <v>17</v>
      </c>
      <c r="C18" s="1">
        <v>0.65</v>
      </c>
      <c r="D18" s="1">
        <v>0.2</v>
      </c>
      <c r="E18" s="1">
        <v>0.15</v>
      </c>
    </row>
    <row r="19" spans="1:5" x14ac:dyDescent="0.2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38</v>
      </c>
      <c r="C20" s="1">
        <v>0.67</v>
      </c>
      <c r="D20" s="1">
        <v>0.19</v>
      </c>
      <c r="E20" s="1">
        <v>0.14000000000000001</v>
      </c>
    </row>
    <row r="21" spans="1:5" x14ac:dyDescent="0.2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2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2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2">
      <c r="A24">
        <v>23</v>
      </c>
      <c r="B24" t="s">
        <v>18</v>
      </c>
      <c r="C24" s="1">
        <v>0.65</v>
      </c>
      <c r="D24" s="1">
        <v>0.2</v>
      </c>
      <c r="E24" s="1">
        <v>0.15</v>
      </c>
    </row>
    <row r="25" spans="1:5" x14ac:dyDescent="0.2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25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29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2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2">
      <c r="A30">
        <v>29</v>
      </c>
      <c r="B30" t="s">
        <v>15</v>
      </c>
      <c r="C30" s="1">
        <v>0.68</v>
      </c>
      <c r="D30" s="1">
        <v>0.2</v>
      </c>
      <c r="E30" s="1">
        <v>0.12</v>
      </c>
    </row>
    <row r="31" spans="1:5" x14ac:dyDescent="0.2">
      <c r="A31">
        <v>30</v>
      </c>
      <c r="B31" t="s">
        <v>36</v>
      </c>
      <c r="C31" s="1">
        <v>0.67</v>
      </c>
      <c r="D31" s="1">
        <v>0.2</v>
      </c>
      <c r="E31" s="1">
        <v>0.13</v>
      </c>
    </row>
    <row r="32" spans="1:5" x14ac:dyDescent="0.2">
      <c r="A32">
        <v>31</v>
      </c>
      <c r="B32" t="s">
        <v>26</v>
      </c>
      <c r="C32" s="1">
        <v>0.62</v>
      </c>
      <c r="D32" s="1">
        <v>0.23</v>
      </c>
      <c r="E32" s="1">
        <v>0.15</v>
      </c>
    </row>
    <row r="33" spans="1:5" x14ac:dyDescent="0.2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2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2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31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5</v>
      </c>
      <c r="C37" s="1">
        <v>0.63</v>
      </c>
      <c r="D37" s="1">
        <v>0.23</v>
      </c>
      <c r="E37" s="1">
        <v>0.14000000000000001</v>
      </c>
    </row>
    <row r="38" spans="1:5" x14ac:dyDescent="0.2">
      <c r="A38">
        <v>37</v>
      </c>
      <c r="B38" t="s">
        <v>14</v>
      </c>
      <c r="C38" s="1">
        <v>0.68</v>
      </c>
      <c r="D38" s="1">
        <v>0.2</v>
      </c>
      <c r="E38" s="1">
        <v>0.12</v>
      </c>
    </row>
    <row r="39" spans="1:5" x14ac:dyDescent="0.2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2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2">
      <c r="A41">
        <v>40</v>
      </c>
      <c r="B41" t="s">
        <v>20</v>
      </c>
      <c r="C41" s="1">
        <v>0.65</v>
      </c>
      <c r="D41" s="1">
        <v>0.22</v>
      </c>
      <c r="E41" s="1">
        <v>0.13</v>
      </c>
    </row>
    <row r="42" spans="1:5" x14ac:dyDescent="0.2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2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27</v>
      </c>
      <c r="C45" s="1">
        <v>0.66</v>
      </c>
      <c r="D45" s="1">
        <v>0.2</v>
      </c>
      <c r="E45" s="1">
        <v>0.14000000000000001</v>
      </c>
    </row>
    <row r="46" spans="1:5" x14ac:dyDescent="0.2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2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22</v>
      </c>
      <c r="C48" s="1">
        <v>0.64</v>
      </c>
      <c r="D48" s="1">
        <v>0.22</v>
      </c>
      <c r="E48" s="1">
        <v>0.14000000000000001</v>
      </c>
    </row>
    <row r="49" spans="1:5" x14ac:dyDescent="0.2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9</v>
      </c>
      <c r="C50" s="1">
        <v>0.62</v>
      </c>
      <c r="D50" s="1">
        <v>0.25</v>
      </c>
      <c r="E50" s="1">
        <v>0.13</v>
      </c>
    </row>
    <row r="51" spans="1:5" x14ac:dyDescent="0.2">
      <c r="A51">
        <v>50</v>
      </c>
      <c r="B51" t="s">
        <v>33</v>
      </c>
      <c r="C51" s="1">
        <v>0.66</v>
      </c>
      <c r="D51" s="1">
        <v>0.19</v>
      </c>
      <c r="E51" s="1">
        <v>0.15</v>
      </c>
    </row>
    <row r="52" spans="1:5" x14ac:dyDescent="0.2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61685454-C060-8F48-A458-7FCF5A40972E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763A-7FAA-4346-B256-AFD8055785C6}">
  <dimension ref="A1:M34"/>
  <sheetViews>
    <sheetView tabSelected="1" zoomScale="99" workbookViewId="0">
      <selection activeCell="L18" sqref="L18"/>
    </sheetView>
  </sheetViews>
  <sheetFormatPr baseColWidth="10" defaultRowHeight="16" x14ac:dyDescent="0.2"/>
  <cols>
    <col min="1" max="1" width="14.1640625" customWidth="1"/>
    <col min="2" max="2" width="13.33203125" customWidth="1"/>
    <col min="3" max="3" width="9.6640625" bestFit="1" customWidth="1"/>
    <col min="4" max="4" width="19.33203125" customWidth="1"/>
    <col min="5" max="5" width="10.83203125" customWidth="1"/>
    <col min="6" max="6" width="14.33203125" customWidth="1"/>
    <col min="8" max="8" width="12.33203125" customWidth="1"/>
    <col min="11" max="11" width="13.1640625" bestFit="1" customWidth="1"/>
    <col min="12" max="12" width="16.83203125" bestFit="1" customWidth="1"/>
    <col min="13" max="13" width="15.83203125" bestFit="1" customWidth="1"/>
  </cols>
  <sheetData>
    <row r="1" spans="1:8" ht="17" x14ac:dyDescent="0.25">
      <c r="A1" t="s">
        <v>59</v>
      </c>
      <c r="B1" t="s">
        <v>60</v>
      </c>
      <c r="C1" s="5" t="s">
        <v>56</v>
      </c>
      <c r="D1" s="5" t="s">
        <v>57</v>
      </c>
    </row>
    <row r="2" spans="1:8" ht="17" x14ac:dyDescent="0.25">
      <c r="A2" t="s">
        <v>41</v>
      </c>
      <c r="B2" s="5" t="s">
        <v>61</v>
      </c>
      <c r="C2" s="6">
        <f>VLOOKUP(A2,'by search term'!B:C,2,FALSE)</f>
        <v>0.68</v>
      </c>
      <c r="D2" s="6">
        <f>_xlfn.XLOOKUP(A2,'by search term'!$B$2:$B$52,'by search term'!$D$2:$D$52,"not found")</f>
        <v>0.18</v>
      </c>
    </row>
    <row r="3" spans="1:8" ht="17" x14ac:dyDescent="0.25">
      <c r="A3" t="s">
        <v>39</v>
      </c>
      <c r="B3" s="5" t="s">
        <v>61</v>
      </c>
      <c r="C3" s="6">
        <f>VLOOKUP(A3,'by search term'!B:C,2,FALSE)</f>
        <v>0.69</v>
      </c>
      <c r="D3" s="6">
        <f>_xlfn.XLOOKUP(A3,'by search term'!$B$2:$B$52,'by search term'!$D$2:$D$52,"not found")</f>
        <v>0.18</v>
      </c>
    </row>
    <row r="4" spans="1:8" ht="17" x14ac:dyDescent="0.25">
      <c r="A4" t="s">
        <v>28</v>
      </c>
      <c r="B4" s="5" t="s">
        <v>61</v>
      </c>
      <c r="C4" s="6">
        <f>VLOOKUP(A4,'by search term'!B:C,2,FALSE)</f>
        <v>0.68</v>
      </c>
      <c r="D4" s="6">
        <f>_xlfn.XLOOKUP(A4,'by search term'!$B$2:$B$52,'by search term'!$D$2:$D$52,"not found")</f>
        <v>0.19</v>
      </c>
    </row>
    <row r="5" spans="1:8" ht="17" x14ac:dyDescent="0.25">
      <c r="A5" s="5" t="s">
        <v>49</v>
      </c>
      <c r="B5" s="5" t="s">
        <v>61</v>
      </c>
      <c r="C5" s="6">
        <f>VLOOKUP(A5,'by search term'!B:C,2,FALSE)</f>
        <v>0.74</v>
      </c>
      <c r="D5" s="6">
        <f>_xlfn.XLOOKUP(A5,'by search term'!$B$2:$B$52,'by search term'!$D$2:$D$52,"not found")</f>
        <v>0.14000000000000001</v>
      </c>
    </row>
    <row r="6" spans="1:8" ht="17" x14ac:dyDescent="0.25">
      <c r="A6" t="s">
        <v>31</v>
      </c>
      <c r="B6" s="5" t="s">
        <v>62</v>
      </c>
      <c r="C6" s="6">
        <f>VLOOKUP(A6,'by search term'!B:C,2,FALSE)</f>
        <v>0.69</v>
      </c>
      <c r="D6" s="6">
        <f>_xlfn.XLOOKUP(A6,'by search term'!$B$2:$B$52,'by search term'!$D$2:$D$52,"not found")</f>
        <v>0.19</v>
      </c>
    </row>
    <row r="7" spans="1:8" ht="17" x14ac:dyDescent="0.25">
      <c r="A7" s="5" t="s">
        <v>44</v>
      </c>
      <c r="B7" s="5" t="str">
        <f t="shared" ref="B7:F7" si="0">TRIM(B6)</f>
        <v>North Central</v>
      </c>
      <c r="C7" s="6">
        <f>VLOOKUP(A7,'by search term'!B:C,2,FALSE)</f>
        <v>0.76</v>
      </c>
      <c r="D7" s="6">
        <f>_xlfn.XLOOKUP(A7,'by search term'!$B$2:$B$52,'by search term'!$D$2:$D$52,"not found")</f>
        <v>0.14000000000000001</v>
      </c>
      <c r="E7" s="5" t="str">
        <f t="shared" si="0"/>
        <v/>
      </c>
      <c r="F7" s="5" t="str">
        <f t="shared" si="0"/>
        <v/>
      </c>
      <c r="H7" t="str">
        <f>TRIM(F7)</f>
        <v/>
      </c>
    </row>
    <row r="8" spans="1:8" x14ac:dyDescent="0.2">
      <c r="A8" t="s">
        <v>35</v>
      </c>
      <c r="B8" t="str">
        <f t="shared" ref="B8:F8" si="1">TRIM(B6)</f>
        <v>North Central</v>
      </c>
      <c r="C8" s="6">
        <f>VLOOKUP(A8,'by search term'!B:C,2,FALSE)</f>
        <v>0.69</v>
      </c>
      <c r="D8" s="6">
        <f>_xlfn.XLOOKUP(A8,'by search term'!$B$2:$B$52,'by search term'!$D$2:$D$52,"not found")</f>
        <v>0.18</v>
      </c>
      <c r="E8" t="str">
        <f t="shared" si="1"/>
        <v/>
      </c>
      <c r="F8" t="str">
        <f t="shared" si="1"/>
        <v/>
      </c>
      <c r="H8" t="str">
        <f>TRIM(F8)</f>
        <v/>
      </c>
    </row>
    <row r="9" spans="1:8" ht="17" x14ac:dyDescent="0.25">
      <c r="A9" s="5" t="s">
        <v>32</v>
      </c>
      <c r="B9" t="str">
        <f t="shared" ref="B9" si="2">TRIM(B7)</f>
        <v>North Central</v>
      </c>
      <c r="C9" s="6">
        <f>VLOOKUP(A9,'by search term'!B:C,2,FALSE)</f>
        <v>0.68</v>
      </c>
      <c r="D9" s="6">
        <f>_xlfn.XLOOKUP(A9,'by search term'!$B$2:$B$52,'by search term'!$D$2:$D$52,"not found")</f>
        <v>0.19</v>
      </c>
    </row>
    <row r="10" spans="1:8" x14ac:dyDescent="0.2">
      <c r="A10" t="s">
        <v>33</v>
      </c>
      <c r="B10" t="str">
        <f t="shared" ref="B10" si="3">TRIM(B8)</f>
        <v>North Central</v>
      </c>
      <c r="C10" s="6">
        <f>VLOOKUP(A10,'by search term'!B:C,2,FALSE)</f>
        <v>0.66</v>
      </c>
      <c r="D10" s="6">
        <f>_xlfn.XLOOKUP(A10,'by search term'!$B$2:$B$52,'by search term'!$D$2:$D$52,"not found")</f>
        <v>0.19</v>
      </c>
      <c r="H10" t="str">
        <f>TRIM(F10)</f>
        <v/>
      </c>
    </row>
    <row r="11" spans="1:8" ht="17" x14ac:dyDescent="0.25">
      <c r="A11" s="5" t="s">
        <v>18</v>
      </c>
      <c r="B11" t="str">
        <f t="shared" ref="B11" si="4">TRIM(B9)</f>
        <v>North Central</v>
      </c>
      <c r="C11" s="6">
        <f>VLOOKUP(A11,'by search term'!B:C,2,FALSE)</f>
        <v>0.65</v>
      </c>
      <c r="D11" s="6">
        <f>_xlfn.XLOOKUP(A11,'by search term'!$B$2:$B$52,'by search term'!$D$2:$D$52,"not found")</f>
        <v>0.2</v>
      </c>
      <c r="H11" t="str">
        <f>TRIM(F11)</f>
        <v/>
      </c>
    </row>
    <row r="23" spans="11:13" x14ac:dyDescent="0.2">
      <c r="K23" s="7" t="s">
        <v>63</v>
      </c>
      <c r="L23" t="s">
        <v>65</v>
      </c>
      <c r="M23" t="s">
        <v>66</v>
      </c>
    </row>
    <row r="24" spans="11:13" x14ac:dyDescent="0.2">
      <c r="K24" s="8" t="s">
        <v>28</v>
      </c>
      <c r="L24" s="1">
        <v>0.68</v>
      </c>
      <c r="M24" s="1">
        <v>0.19</v>
      </c>
    </row>
    <row r="25" spans="11:13" x14ac:dyDescent="0.2">
      <c r="K25" s="8" t="s">
        <v>18</v>
      </c>
      <c r="L25" s="1">
        <v>0.65</v>
      </c>
      <c r="M25" s="1">
        <v>0.2</v>
      </c>
    </row>
    <row r="26" spans="11:13" x14ac:dyDescent="0.2">
      <c r="K26" s="8" t="s">
        <v>32</v>
      </c>
      <c r="L26" s="1">
        <v>0.68</v>
      </c>
      <c r="M26" s="1">
        <v>0.19</v>
      </c>
    </row>
    <row r="27" spans="11:13" x14ac:dyDescent="0.2">
      <c r="K27" s="8" t="s">
        <v>49</v>
      </c>
      <c r="L27" s="1">
        <v>0.74</v>
      </c>
      <c r="M27" s="1">
        <v>0.14000000000000001</v>
      </c>
    </row>
    <row r="28" spans="11:13" x14ac:dyDescent="0.2">
      <c r="K28" s="8" t="s">
        <v>35</v>
      </c>
      <c r="L28" s="1">
        <v>0.69</v>
      </c>
      <c r="M28" s="1">
        <v>0.18</v>
      </c>
    </row>
    <row r="29" spans="11:13" x14ac:dyDescent="0.2">
      <c r="K29" s="8" t="s">
        <v>31</v>
      </c>
      <c r="L29" s="1">
        <v>0.69</v>
      </c>
      <c r="M29" s="1">
        <v>0.19</v>
      </c>
    </row>
    <row r="30" spans="11:13" x14ac:dyDescent="0.2">
      <c r="K30" s="8" t="s">
        <v>39</v>
      </c>
      <c r="L30" s="1">
        <v>0.69</v>
      </c>
      <c r="M30" s="1">
        <v>0.18</v>
      </c>
    </row>
    <row r="31" spans="11:13" x14ac:dyDescent="0.2">
      <c r="K31" s="8" t="s">
        <v>44</v>
      </c>
      <c r="L31" s="1">
        <v>0.76</v>
      </c>
      <c r="M31" s="1">
        <v>0.14000000000000001</v>
      </c>
    </row>
    <row r="32" spans="11:13" x14ac:dyDescent="0.2">
      <c r="K32" s="8" t="s">
        <v>41</v>
      </c>
      <c r="L32" s="1">
        <v>0.68</v>
      </c>
      <c r="M32" s="1">
        <v>0.18</v>
      </c>
    </row>
    <row r="33" spans="11:13" x14ac:dyDescent="0.2">
      <c r="K33" s="8" t="s">
        <v>33</v>
      </c>
      <c r="L33" s="1">
        <v>0.66</v>
      </c>
      <c r="M33" s="1">
        <v>0.19</v>
      </c>
    </row>
    <row r="34" spans="11:13" x14ac:dyDescent="0.2">
      <c r="K34" s="8" t="s">
        <v>64</v>
      </c>
      <c r="L34" s="1">
        <v>6.92</v>
      </c>
      <c r="M34" s="1">
        <v>1.78</v>
      </c>
    </row>
  </sheetData>
  <phoneticPr fontId="19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0D3E-2A16-2F41-96E3-BF0CD198B9EE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sheetData>
    <row r="1" spans="1:52" x14ac:dyDescent="0.2">
      <c r="A1" t="s">
        <v>0</v>
      </c>
      <c r="B1" t="s">
        <v>3</v>
      </c>
      <c r="C1" t="s">
        <v>50</v>
      </c>
      <c r="D1" t="s">
        <v>19</v>
      </c>
      <c r="E1" t="s">
        <v>16</v>
      </c>
      <c r="F1" t="s">
        <v>30</v>
      </c>
      <c r="G1" t="s">
        <v>40</v>
      </c>
      <c r="H1" t="s">
        <v>24</v>
      </c>
      <c r="I1" t="s">
        <v>13</v>
      </c>
      <c r="J1" t="s">
        <v>51</v>
      </c>
      <c r="K1" t="s">
        <v>23</v>
      </c>
      <c r="L1" t="s">
        <v>8</v>
      </c>
      <c r="M1" t="s">
        <v>48</v>
      </c>
      <c r="N1" t="s">
        <v>28</v>
      </c>
      <c r="O1" t="s">
        <v>12</v>
      </c>
      <c r="P1" t="s">
        <v>7</v>
      </c>
      <c r="Q1" t="s">
        <v>34</v>
      </c>
      <c r="R1" t="s">
        <v>17</v>
      </c>
      <c r="S1" t="s">
        <v>6</v>
      </c>
      <c r="T1" t="s">
        <v>38</v>
      </c>
      <c r="U1" t="s">
        <v>45</v>
      </c>
      <c r="V1" t="s">
        <v>21</v>
      </c>
      <c r="W1" t="s">
        <v>43</v>
      </c>
      <c r="X1" t="s">
        <v>18</v>
      </c>
      <c r="Y1" t="s">
        <v>32</v>
      </c>
      <c r="Z1" t="s">
        <v>25</v>
      </c>
      <c r="AA1" t="s">
        <v>29</v>
      </c>
      <c r="AB1" t="s">
        <v>49</v>
      </c>
      <c r="AC1" t="s">
        <v>35</v>
      </c>
      <c r="AD1" t="s">
        <v>15</v>
      </c>
      <c r="AE1" t="s">
        <v>36</v>
      </c>
      <c r="AF1" t="s">
        <v>26</v>
      </c>
      <c r="AG1" t="s">
        <v>42</v>
      </c>
      <c r="AH1" t="s">
        <v>37</v>
      </c>
      <c r="AI1" t="s">
        <v>1</v>
      </c>
      <c r="AJ1" t="s">
        <v>31</v>
      </c>
      <c r="AK1" t="s">
        <v>5</v>
      </c>
      <c r="AL1" t="s">
        <v>14</v>
      </c>
      <c r="AM1" t="s">
        <v>39</v>
      </c>
      <c r="AN1" t="s">
        <v>11</v>
      </c>
      <c r="AO1" t="s">
        <v>20</v>
      </c>
      <c r="AP1" t="s">
        <v>2</v>
      </c>
      <c r="AQ1" t="s">
        <v>44</v>
      </c>
      <c r="AR1" t="s">
        <v>4</v>
      </c>
      <c r="AS1" t="s">
        <v>27</v>
      </c>
      <c r="AT1" t="s">
        <v>10</v>
      </c>
      <c r="AU1" t="s">
        <v>47</v>
      </c>
      <c r="AV1" t="s">
        <v>22</v>
      </c>
      <c r="AW1" t="s">
        <v>41</v>
      </c>
      <c r="AX1" t="s">
        <v>9</v>
      </c>
      <c r="AY1" t="s">
        <v>33</v>
      </c>
      <c r="AZ1" t="s">
        <v>46</v>
      </c>
    </row>
    <row r="2" spans="1:52" x14ac:dyDescent="0.2">
      <c r="A2" t="s">
        <v>56</v>
      </c>
      <c r="B2" s="1">
        <v>0.65</v>
      </c>
      <c r="C2" s="1">
        <v>0.71</v>
      </c>
      <c r="D2" s="1">
        <v>0.66</v>
      </c>
      <c r="E2" s="1">
        <v>0.68</v>
      </c>
      <c r="F2" s="1">
        <v>0.64</v>
      </c>
      <c r="G2" s="1">
        <v>0.68</v>
      </c>
      <c r="H2" s="1">
        <v>0.64</v>
      </c>
      <c r="I2" s="1">
        <v>0.6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0.65</v>
      </c>
      <c r="Q2" s="1">
        <v>0.69</v>
      </c>
      <c r="R2" s="1">
        <v>0.65</v>
      </c>
      <c r="S2" s="1">
        <v>0.64</v>
      </c>
      <c r="T2" s="1">
        <v>0.67</v>
      </c>
      <c r="U2" s="1">
        <v>0.69</v>
      </c>
      <c r="V2" s="1">
        <v>0.62</v>
      </c>
      <c r="W2" s="1">
        <v>0.63</v>
      </c>
      <c r="X2" s="1">
        <v>0.65</v>
      </c>
      <c r="Y2" s="1">
        <v>0.68</v>
      </c>
      <c r="Z2" s="1">
        <v>0.68</v>
      </c>
      <c r="AA2" s="1">
        <v>0.67</v>
      </c>
      <c r="AB2" s="1">
        <v>0.74</v>
      </c>
      <c r="AC2" s="1">
        <v>0.69</v>
      </c>
      <c r="AD2" s="1">
        <v>0.68</v>
      </c>
      <c r="AE2" s="1">
        <v>0.67</v>
      </c>
      <c r="AF2" s="1">
        <v>0.62</v>
      </c>
      <c r="AG2" s="1">
        <v>0.67</v>
      </c>
      <c r="AH2" s="1">
        <v>0.64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0.61</v>
      </c>
      <c r="AO2" s="1">
        <v>0.65</v>
      </c>
      <c r="AP2" s="1">
        <v>0.67</v>
      </c>
      <c r="AQ2" s="1">
        <v>0.76</v>
      </c>
      <c r="AR2" s="1">
        <v>0.65</v>
      </c>
      <c r="AS2" s="1">
        <v>0.66</v>
      </c>
      <c r="AT2" s="1">
        <v>0.67</v>
      </c>
      <c r="AU2" s="1">
        <v>0.69</v>
      </c>
      <c r="AV2" s="1">
        <v>0.64</v>
      </c>
      <c r="AW2" s="1">
        <v>0.68</v>
      </c>
      <c r="AX2" s="1">
        <v>0.62</v>
      </c>
      <c r="AY2" s="1">
        <v>0.66</v>
      </c>
      <c r="AZ2" s="1">
        <v>0.71</v>
      </c>
    </row>
    <row r="3" spans="1:52" x14ac:dyDescent="0.2">
      <c r="A3" t="s">
        <v>57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0.17</v>
      </c>
      <c r="H3" s="1">
        <v>0.21</v>
      </c>
      <c r="I3" s="1">
        <v>0.26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0.19</v>
      </c>
      <c r="R3" s="1">
        <v>0.2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0.18</v>
      </c>
      <c r="AH3" s="1">
        <v>0.2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0.24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0.22</v>
      </c>
      <c r="AW3" s="1">
        <v>0.18</v>
      </c>
      <c r="AX3" s="1">
        <v>0.25</v>
      </c>
      <c r="AY3" s="1">
        <v>0.19</v>
      </c>
      <c r="AZ3" s="1">
        <v>0.16</v>
      </c>
    </row>
    <row r="4" spans="1:52" x14ac:dyDescent="0.2">
      <c r="A4" t="s">
        <v>58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0.16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0.12</v>
      </c>
      <c r="R4" s="1">
        <v>0.15</v>
      </c>
      <c r="S4" s="1">
        <v>0.13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0.15</v>
      </c>
      <c r="Y4" s="1">
        <v>0.13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0.12</v>
      </c>
      <c r="AE4" s="1">
        <v>0.13</v>
      </c>
      <c r="AF4" s="1">
        <v>0.15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0.14000000000000001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sales region lookup</vt:lpstr>
      <vt:lpstr>by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Netsanet Aweke</dc:creator>
  <cp:lastModifiedBy>netsa aweke</cp:lastModifiedBy>
  <dcterms:created xsi:type="dcterms:W3CDTF">2026-10-17T02:19:52Z</dcterms:created>
  <dcterms:modified xsi:type="dcterms:W3CDTF">2026-10-18T21:22:20Z</dcterms:modified>
</cp:coreProperties>
</file>