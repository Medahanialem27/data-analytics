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1/"/>
    </mc:Choice>
  </mc:AlternateContent>
  <xr:revisionPtr revIDLastSave="0" documentId="13_ncr:1_{C2A553C3-16C9-544F-867E-16E4D180F746}" xr6:coauthVersionLast="47" xr6:coauthVersionMax="47" xr10:uidLastSave="{00000000-0000-0000-0000-000000000000}"/>
  <bookViews>
    <workbookView xWindow="0" yWindow="780" windowWidth="19120" windowHeight="20780" activeTab="1" xr2:uid="{00000000-000D-0000-FFFF-FFFF00000000}"/>
  </bookViews>
  <sheets>
    <sheet name="Rewards Summary" sheetId="2" r:id="rId1"/>
    <sheet name="Sheet1" sheetId="1" r:id="rId2"/>
  </sheets>
  <calcPr calcId="191028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C7" i="1"/>
  <c r="J10" i="1"/>
  <c r="H8" i="1"/>
  <c r="D8" i="1"/>
  <c r="D2" i="1"/>
  <c r="D3" i="1"/>
  <c r="D4" i="1"/>
  <c r="D5" i="1"/>
  <c r="D6" i="1"/>
</calcChain>
</file>

<file path=xl/sharedStrings.xml><?xml version="1.0" encoding="utf-8"?>
<sst xmlns="http://schemas.openxmlformats.org/spreadsheetml/2006/main" count="50" uniqueCount="35">
  <si>
    <t>Id</t>
  </si>
  <si>
    <t>Start time</t>
  </si>
  <si>
    <t>Completion time</t>
  </si>
  <si>
    <t>Name</t>
  </si>
  <si>
    <t>How often do you visit Peet's Coffee? </t>
  </si>
  <si>
    <t>How would you rate your most recent visit to peet's Coffee?</t>
  </si>
  <si>
    <t>What do you usually order at peet's Coffee? Select all that apply.</t>
  </si>
  <si>
    <t>What reward would you like to receive from Peet's?</t>
  </si>
  <si>
    <t>How likely are you to join a  Peet's rewards program?</t>
  </si>
  <si>
    <t xml:space="preserve">What is one thing Peet's could improve about your experience?
</t>
  </si>
  <si>
    <t>anonymous</t>
  </si>
  <si>
    <t>This is my first visit.</t>
  </si>
  <si>
    <t>Iced coffee.</t>
  </si>
  <si>
    <t>Free drink.</t>
  </si>
  <si>
    <t>Somewhat likely.</t>
  </si>
  <si>
    <t>More iced coffe options</t>
  </si>
  <si>
    <t>Coffee.</t>
  </si>
  <si>
    <t>Very likely.</t>
  </si>
  <si>
    <t>Less than once a month.</t>
  </si>
  <si>
    <t>Service speed</t>
  </si>
  <si>
    <t>Once a week.</t>
  </si>
  <si>
    <t>Hot chocolate.</t>
  </si>
  <si>
    <t>Free food.</t>
  </si>
  <si>
    <t>N/A</t>
  </si>
  <si>
    <t>Neither likely nor unlikely</t>
  </si>
  <si>
    <t>More menu options</t>
  </si>
  <si>
    <t>Email2</t>
  </si>
  <si>
    <t>Time to complete</t>
  </si>
  <si>
    <t>Row Labels</t>
  </si>
  <si>
    <t>Grand Total</t>
  </si>
  <si>
    <t>Count of Id</t>
  </si>
  <si>
    <t>Average time</t>
  </si>
  <si>
    <t>Average rating</t>
  </si>
  <si>
    <t>Free drink</t>
  </si>
  <si>
    <t>Likely to join.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</si>
</sst>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4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[Ex5B_SurveyResults.xlsx]Rewards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Peet’s Survey: Preferred Rewards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'Rewards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'Rewards Summary'!$A$4:$A$6</c:f>
              <c:strCache>
                <c:ptCount val="2"/>
                <c:pt idx="0">
                  <c:v>Free drink.</c:v>
                </c:pt>
                <c:pt idx="1">
                  <c:v>Free food.</c:v>
                </c:pt>
              </c:strCache>
            </c:strRef>
          </c:cat>
          <c:val>
            <c:numRef>
              <c:f>'Rewards Summary'!$B$4:$B$6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5-1D4C-B5F6-410E731717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4679104"/>
        <c:axId val="364680896"/>
      </c:barChart>
      <c:catAx>
        <c:axId val="3646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80896"/>
        <c:crosses val="autoZero"/>
        <c:auto val="1"/>
        <c:lblAlgn val="ctr"/>
        <c:lblOffset val="100"/>
        <c:noMultiLvlLbl val="0"/>
      </c:catAx>
      <c:valAx>
        <c:axId val="3646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349250</xdr:colOff>
      <xdr:row>9</xdr:row>
      <xdr:rowOff>6350</xdr:rowOff>
    </xdr:from>
    <xdr:to>
      <xdr:col>18</xdr:col>
      <xdr:colOff>793750</xdr:colOff>
      <xdr:row>23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BB50A-F410-641C-6424-4D86AA1CB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sanet Aweke" refreshedDate="46314.851945833332" createdVersion="8" refreshedVersion="8" minRefreshableVersion="3" recordCount="5" xr:uid="{487C5CD3-C0A4-614E-9786-E8198F4757E4}">
  <cacheSource type="worksheet">
    <worksheetSource ref="A1:L6" sheet="Sheet1"/>
  </cacheSource>
  <cacheFields count="12">
    <cacheField name="Id" numFmtId="0">
      <sharedItems containsSemiMixedTypes="0" containsString="0" containsNumber="1" containsInteger="1" minValue="1" maxValue="5"/>
    </cacheField>
    <cacheField name="Start time" numFmtId="164">
      <sharedItems containsSemiMixedTypes="0" containsNonDate="0" containsDate="1" containsString="0" minDate="2026-10-16T18:19:32" maxDate="2026-10-18T21:28:31"/>
    </cacheField>
    <cacheField name="Completion time" numFmtId="164">
      <sharedItems containsSemiMixedTypes="0" containsNonDate="0" containsDate="1" containsString="0" minDate="2026-10-16T18:20:48" maxDate="2026-10-18T21:29:09"/>
    </cacheField>
    <cacheField name="Time to complete" numFmtId="45">
      <sharedItems containsSemiMixedTypes="0" containsNonDate="0" containsDate="1" containsString="0" minDate="1899-12-30T00:00:35" maxDate="1899-12-30T00:30:55"/>
    </cacheField>
    <cacheField name="Email2" numFmtId="0">
      <sharedItems/>
    </cacheField>
    <cacheField name="Name" numFmtId="0">
      <sharedItems containsNonDate="0" containsString="0" containsBlank="1"/>
    </cacheField>
    <cacheField name="How often do you visit Peet's Coffee? " numFmtId="0">
      <sharedItems/>
    </cacheField>
    <cacheField name="How would you rate your most recent visit to peet's Coffee?" numFmtId="0">
      <sharedItems containsSemiMixedTypes="0" containsString="0" containsNumber="1" containsInteger="1" minValue="3" maxValue="5"/>
    </cacheField>
    <cacheField name="What do you usually order at peet's Coffee? Select all that apply." numFmtId="0">
      <sharedItems/>
    </cacheField>
    <cacheField name="What reward would you like to receive from Peet's?" numFmtId="0">
      <sharedItems count="2">
        <s v="Free drink."/>
        <s v="Free food."/>
      </sharedItems>
    </cacheField>
    <cacheField name="How likely are you to join a  Peet's rewards program?" numFmtId="0">
      <sharedItems/>
    </cacheField>
    <cacheField name="What is one thing Peet's could improve about your experience?_x000a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10-16T18:19:32"/>
    <d v="2026-10-16T18:20:48"/>
    <d v="1899-12-30T00:01:16"/>
    <s v="anonymous"/>
    <m/>
    <s v="This is my first visit."/>
    <n v="5"/>
    <s v="Iced coffee."/>
    <x v="0"/>
    <s v="Somewhat likely."/>
    <s v="More iced coffe options"/>
  </r>
  <r>
    <n v="2"/>
    <d v="2026-10-18T16:06:39"/>
    <d v="2026-10-18T16:07:14"/>
    <d v="1899-12-30T00:00:35"/>
    <s v="anonymous"/>
    <m/>
    <s v="This is my first visit."/>
    <n v="3"/>
    <s v="Coffee."/>
    <x v="0"/>
    <s v="Very likely."/>
    <m/>
  </r>
  <r>
    <n v="3"/>
    <d v="2026-10-18T19:20:15"/>
    <d v="2026-10-18T19:51:10"/>
    <d v="1899-12-30T00:30:55"/>
    <s v="anonymous"/>
    <m/>
    <s v="Less than once a month."/>
    <n v="5"/>
    <s v="Coffee."/>
    <x v="0"/>
    <s v="Somewhat likely."/>
    <s v="Service speed"/>
  </r>
  <r>
    <n v="4"/>
    <d v="2026-10-18T20:48:23"/>
    <d v="2026-10-18T20:49:47"/>
    <d v="1899-12-30T00:01:24"/>
    <s v="anonymous"/>
    <m/>
    <s v="Once a week."/>
    <n v="4"/>
    <s v="Hot chocolate."/>
    <x v="1"/>
    <s v="Very likely."/>
    <s v="N/A"/>
  </r>
  <r>
    <n v="5"/>
    <d v="2026-10-18T21:28:31"/>
    <d v="2026-10-18T21:29:09"/>
    <d v="1899-12-30T00:00:38"/>
    <s v="anonymous"/>
    <m/>
    <s v="This is my first visit."/>
    <n v="4"/>
    <s v="Iced coffee."/>
    <x v="0"/>
    <s v="Neither likely nor unlikely"/>
    <s v="More menu optio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2DF9-53D0-274D-8646-ED34CC46D2B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dataField="1"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7" totalsRowCount="1">
  <autoFilter ref="A1:L6" xr:uid="{00000000-0009-0000-0100-000001000000}"/>
  <tableColumns count="12">
    <tableColumn id="1" xr3:uid="{00000000-0010-0000-0000-000001000000}" name="Id" dataDxfId="15" totalsRow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4" totalsRowDxfId="1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totalsRowFunction="custom" dataDxfId="13" totalsRowDxfId="9">
      <totalsRowFormula>AVERAGE(C2:C6)</totalsRowFormula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C6F48926-10EA-DA43-B68C-FBAAC5A76B12}" name="Time to complete" dataDxfId="12" totalsRowDxfId="8">
      <calculatedColumnFormula>C2-B2</calculatedColumnFormula>
    </tableColumn>
    <tableColumn id="4" xr3:uid="{00000000-0010-0000-0000-000004000000}" name="Email2" dataDxfId="23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2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Peet's Coffee? " dataDxfId="21" totalsRowDxfId="5">
      <extLst>
        <ext xmlns:xlmsforms="http://schemas.microsoft.com/office/spreadsheetml/2023/msForms" uri="{FCC71383-01E1-4257-9335-427F07BE8D7F}">
          <xlmsforms:question id="r758d7541db9a4343addc29686ca8651b"/>
        </ext>
      </extLst>
    </tableColumn>
    <tableColumn id="7" xr3:uid="{00000000-0010-0000-0000-000007000000}" name="How would you rate your most recent visit to peet's Coffee?" dataDxfId="20" totalsRowDxfId="4">
      <extLst>
        <ext xmlns:xlmsforms="http://schemas.microsoft.com/office/spreadsheetml/2023/msForms" uri="{FCC71383-01E1-4257-9335-427F07BE8D7F}">
          <xlmsforms:question id="r12060fc8a2a3450185d34b353a6056b9"/>
        </ext>
      </extLst>
    </tableColumn>
    <tableColumn id="8" xr3:uid="{00000000-0010-0000-0000-000008000000}" name="What do you usually order at peet's Coffee? Select all that apply." dataDxfId="19" totalsRowDxfId="3">
      <extLst>
        <ext xmlns:xlmsforms="http://schemas.microsoft.com/office/spreadsheetml/2023/msForms" uri="{FCC71383-01E1-4257-9335-427F07BE8D7F}">
          <xlmsforms:question id="rf7fafc82cdb741fda4a15d8bcaab0918"/>
        </ext>
      </extLst>
    </tableColumn>
    <tableColumn id="9" xr3:uid="{00000000-0010-0000-0000-000009000000}" name="What reward would you like to receive from Peet's?" dataDxfId="18" totalsRowDxfId="2">
      <extLst>
        <ext xmlns:xlmsforms="http://schemas.microsoft.com/office/spreadsheetml/2023/msForms" uri="{FCC71383-01E1-4257-9335-427F07BE8D7F}">
          <xlmsforms:question id="r691bda3a05df4edd95e61a5eaab61832"/>
        </ext>
      </extLst>
    </tableColumn>
    <tableColumn id="10" xr3:uid="{00000000-0010-0000-0000-00000A000000}" name="How likely are you to join a  Peet's rewards program?" dataDxfId="17" totalsRowDxfId="1">
      <extLst>
        <ext xmlns:xlmsforms="http://schemas.microsoft.com/office/spreadsheetml/2023/msForms" uri="{FCC71383-01E1-4257-9335-427F07BE8D7F}">
          <xlmsforms:question id="r221ceec4a6b54d32bf015063055cc9f9"/>
        </ext>
      </extLst>
    </tableColumn>
    <tableColumn id="11" xr3:uid="{00000000-0010-0000-0000-00000B000000}" name="What is one thing Peet's could improve about your experience?_x000a_" dataDxfId="16" totalsRowDxfId="0">
      <extLst>
        <ext xmlns:xlmsforms="http://schemas.microsoft.com/office/spreadsheetml/2023/msForms" uri="{FCC71383-01E1-4257-9335-427F07BE8D7F}">
          <xlmsforms:question id="r60b894bbbbca4916806437fa16f07ce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rAIQWyynNClaI3ytD8kMRURVBONzBVRFZXTlFaSlRMMzRUNkVaTFVCQi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r758d7541db9a4343addc29686ca8651b</xlmsforms:syncedQuestionId>
        <xlmsforms:syncedQuestionId>r12060fc8a2a3450185d34b353a6056b9</xlmsforms:syncedQuestionId>
        <xlmsforms:syncedQuestionId>rf7fafc82cdb741fda4a15d8bcaab0918</xlmsforms:syncedQuestionId>
        <xlmsforms:syncedQuestionId>r691bda3a05df4edd95e61a5eaab61832</xlmsforms:syncedQuestionId>
        <xlmsforms:syncedQuestionId>r221ceec4a6b54d32bf015063055cc9f9</xlmsforms:syncedQuestionId>
        <xlmsforms:syncedQuestionId>r60b894bbbbca4916806437fa16f07cee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E67-801C-384D-8E70-25AF1A48B025}">
  <dimension ref="A3:B6"/>
  <sheetViews>
    <sheetView workbookViewId="0">
      <selection activeCell="B3" sqref="B3"/>
    </sheetView>
  </sheetViews>
  <sheetFormatPr baseColWidth="10" defaultRowHeight="15" x14ac:dyDescent="0.2"/>
  <cols>
    <col min="1" max="1" width="12.1640625" bestFit="1" customWidth="1"/>
    <col min="2" max="2" width="9.5" bestFit="1" customWidth="1"/>
  </cols>
  <sheetData>
    <row r="3" spans="1:2" x14ac:dyDescent="0.2">
      <c r="A3" s="6" t="s">
        <v>28</v>
      </c>
      <c r="B3" t="s">
        <v>30</v>
      </c>
    </row>
    <row r="4" spans="1:2" x14ac:dyDescent="0.2">
      <c r="A4" s="7" t="s">
        <v>13</v>
      </c>
      <c r="B4" s="2">
        <v>4</v>
      </c>
    </row>
    <row r="5" spans="1:2" x14ac:dyDescent="0.2">
      <c r="A5" s="7" t="s">
        <v>22</v>
      </c>
      <c r="B5" s="2">
        <v>1</v>
      </c>
    </row>
    <row r="6" spans="1:2" x14ac:dyDescent="0.2">
      <c r="A6" s="7" t="s">
        <v>29</v>
      </c>
      <c r="B6" s="2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F1" workbookViewId="0">
      <selection activeCell="J12" sqref="J12"/>
    </sheetView>
  </sheetViews>
  <sheetFormatPr baseColWidth="10" defaultColWidth="8.83203125" defaultRowHeight="15" x14ac:dyDescent="0.2"/>
  <cols>
    <col min="1" max="3" width="20" bestFit="1" customWidth="1"/>
    <col min="4" max="4" width="20" customWidth="1"/>
    <col min="5" max="6" width="20" bestFit="1" customWidth="1"/>
    <col min="7" max="7" width="19.83203125" customWidth="1"/>
    <col min="8" max="12" width="20" bestFit="1" customWidth="1"/>
  </cols>
  <sheetData>
    <row r="1" spans="1:12" x14ac:dyDescent="0.2">
      <c r="A1" t="s">
        <v>0</v>
      </c>
      <c r="B1" s="1" t="s">
        <v>1</v>
      </c>
      <c r="C1" t="s">
        <v>2</v>
      </c>
      <c r="D1" t="s">
        <v>27</v>
      </c>
      <c r="E1" t="s">
        <v>26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1</v>
      </c>
      <c r="B2" s="3">
        <v>46311.763564814813</v>
      </c>
      <c r="C2" s="3">
        <v>46311.764444444445</v>
      </c>
      <c r="D2" s="4">
        <f t="shared" ref="D2:D6" si="0">C2-B2</f>
        <v>8.7962963152676821E-4</v>
      </c>
      <c r="E2" t="s">
        <v>10</v>
      </c>
      <c r="G2" t="s">
        <v>11</v>
      </c>
      <c r="H2">
        <v>5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">
      <c r="A3">
        <v>2</v>
      </c>
      <c r="B3" s="3">
        <v>46313.671284722222</v>
      </c>
      <c r="C3" s="3">
        <v>46313.671689814815</v>
      </c>
      <c r="D3" s="4">
        <f t="shared" si="0"/>
        <v>4.0509259270038456E-4</v>
      </c>
      <c r="E3" t="s">
        <v>10</v>
      </c>
      <c r="G3" t="s">
        <v>11</v>
      </c>
      <c r="H3">
        <v>3</v>
      </c>
      <c r="I3" t="s">
        <v>16</v>
      </c>
      <c r="J3" t="s">
        <v>13</v>
      </c>
      <c r="K3" t="s">
        <v>17</v>
      </c>
    </row>
    <row r="4" spans="1:12" x14ac:dyDescent="0.2">
      <c r="A4">
        <v>3</v>
      </c>
      <c r="B4" s="3">
        <v>46313.80572916667</v>
      </c>
      <c r="C4" s="3">
        <v>46313.827199074076</v>
      </c>
      <c r="D4" s="4">
        <f t="shared" si="0"/>
        <v>2.1469907405844424E-2</v>
      </c>
      <c r="E4" t="s">
        <v>10</v>
      </c>
      <c r="G4" t="s">
        <v>18</v>
      </c>
      <c r="H4">
        <v>5</v>
      </c>
      <c r="I4" t="s">
        <v>16</v>
      </c>
      <c r="J4" t="s">
        <v>13</v>
      </c>
      <c r="K4" t="s">
        <v>14</v>
      </c>
      <c r="L4" t="s">
        <v>19</v>
      </c>
    </row>
    <row r="5" spans="1:12" x14ac:dyDescent="0.2">
      <c r="A5">
        <v>4</v>
      </c>
      <c r="B5" s="3">
        <v>46313.866932870369</v>
      </c>
      <c r="C5" s="3">
        <v>46313.867905092593</v>
      </c>
      <c r="D5" s="4">
        <f t="shared" si="0"/>
        <v>9.7222222393611446E-4</v>
      </c>
      <c r="E5" t="s">
        <v>10</v>
      </c>
      <c r="G5" t="s">
        <v>20</v>
      </c>
      <c r="H5">
        <v>4</v>
      </c>
      <c r="I5" t="s">
        <v>21</v>
      </c>
      <c r="J5" t="s">
        <v>22</v>
      </c>
      <c r="K5" t="s">
        <v>17</v>
      </c>
      <c r="L5" t="s">
        <v>23</v>
      </c>
    </row>
    <row r="6" spans="1:12" x14ac:dyDescent="0.2">
      <c r="A6">
        <v>5</v>
      </c>
      <c r="B6" s="3">
        <v>46313.894803240742</v>
      </c>
      <c r="C6" s="3">
        <v>46313.895243055558</v>
      </c>
      <c r="D6" s="4">
        <f t="shared" si="0"/>
        <v>4.398148157633841E-4</v>
      </c>
      <c r="E6" t="s">
        <v>10</v>
      </c>
      <c r="G6" t="s">
        <v>11</v>
      </c>
      <c r="H6">
        <v>4</v>
      </c>
      <c r="I6" t="s">
        <v>12</v>
      </c>
      <c r="J6" t="s">
        <v>13</v>
      </c>
      <c r="K6" t="s">
        <v>24</v>
      </c>
      <c r="L6" t="s">
        <v>25</v>
      </c>
    </row>
    <row r="7" spans="1:12" x14ac:dyDescent="0.2">
      <c r="A7" s="2"/>
      <c r="B7" s="3"/>
      <c r="C7" s="3">
        <f>AVERAGE(C2:C6)</f>
        <v>46313.405296296303</v>
      </c>
      <c r="D7" s="4"/>
      <c r="E7" s="8"/>
      <c r="F7" s="8"/>
      <c r="G7" s="8"/>
      <c r="H7" s="2"/>
      <c r="I7" s="8"/>
      <c r="J7" s="8"/>
      <c r="K7" s="8"/>
      <c r="L7" s="8"/>
    </row>
    <row r="8" spans="1:12" ht="16" x14ac:dyDescent="0.25">
      <c r="C8" t="s">
        <v>31</v>
      </c>
      <c r="D8" s="4">
        <f>AVERAGE(D2:D6)</f>
        <v>4.8333333339542154E-3</v>
      </c>
      <c r="G8" t="s">
        <v>32</v>
      </c>
      <c r="H8" s="5">
        <f>AVERAGE(H2:H6)</f>
        <v>4.2</v>
      </c>
    </row>
    <row r="9" spans="1:12" x14ac:dyDescent="0.2">
      <c r="D9" s="4"/>
    </row>
    <row r="10" spans="1:12" x14ac:dyDescent="0.2">
      <c r="I10" t="s">
        <v>33</v>
      </c>
      <c r="J10">
        <f>COUNTIF(J2:J6,"Free drink.")</f>
        <v>4</v>
      </c>
    </row>
    <row r="11" spans="1:12" x14ac:dyDescent="0.2">
      <c r="I11" t="s">
        <v>34</v>
      </c>
      <c r="J11">
        <f>COUNTIF(K2:K6,"Very likely.")+COUNTIF(K2:K6,"Somewhat likely.")</f>
        <v>4</v>
      </c>
    </row>
    <row r="14" spans="1:12" x14ac:dyDescent="0.2">
      <c r="B1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Rewards 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Netsanet Aweke</cp:lastModifiedBy>
  <cp:revision/>
  <dcterms:created xsi:type="dcterms:W3CDTF">2026-10-19T08:56:22Z</dcterms:created>
  <dcterms:modified xsi:type="dcterms:W3CDTF">2026-10-20T10:34:07Z</dcterms:modified>
  <cp:category/>
  <cp:contentStatus/>
</cp:coreProperties>
</file>